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alcantar_my_yearupunited_org/Documents/Documents/"/>
    </mc:Choice>
  </mc:AlternateContent>
  <xr:revisionPtr revIDLastSave="124" documentId="8_{1C6B1F61-80EF-4B38-9D67-2CC2911E4D68}" xr6:coauthVersionLast="47" xr6:coauthVersionMax="47" xr10:uidLastSave="{05DE314D-1B41-4C4A-B9B9-6C97B8BEF46D}"/>
  <bookViews>
    <workbookView xWindow="1044" yWindow="432" windowWidth="21768" windowHeight="11808" activeTab="2" xr2:uid="{6E36BABB-E22D-4F01-B6D7-BA4FCA2B8AC3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7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<sst xmlns="http://schemas.openxmlformats.org/spreadsheetml/2006/main" count="154" uniqueCount="68">
  <si>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</si>
  <si>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</si>
  <si>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</si>
  <si>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</si>
  <si>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</si>
  <si>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</si>
  <si>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</si>
  <si>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</si>
  <si>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</si>
  <si>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</si>
  <si>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</si>
  <si>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</si>
  <si>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</si>
  <si>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</si>
  <si>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</si>
  <si>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</si>
  <si>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</si>
  <si>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</si>
  <si>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</si>
  <si>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</si>
  <si>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</si>
  <si>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</si>
  <si>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</si>
  <si>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</si>
  <si>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</si>
  <si>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</si>
  <si>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</si>
  <si>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</si>
  <si>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</si>
  <si>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</si>
  <si>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</si>
  <si>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</si>
  <si>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</si>
  <si>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</si>
  <si>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</si>
  <si>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</si>
  <si>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</si>
  <si>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</si>
  <si>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</si>
  <si>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</si>
  <si>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</si>
  <si>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</si>
  <si>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</si>
  <si>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</si>
  <si>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</si>
  <si>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</si>
  <si>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</si>
  <si>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</si>
  <si>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</si>
  <si>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</si>
  <si>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</si>
  <si>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</si>
  <si>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</si>
  <si>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</si>
  <si>
    <t>date range</t>
  </si>
  <si>
    <t>2/1/24 -2/28/25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</si>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</sst>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5" borderId="0" xfId="0" applyFill="1"/>
    <xf numFmtId="9" fontId="0" fillId="0" borderId="0" xfId="43" applyFont="1"/>
    <xf numFmtId="0" fontId="0" fillId="0" borderId="0" xfId="0" pivotButton="1"/>
    <xf numFmtId="0" fontId="0" fillId="0" borderId="0" xfId="0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Style 1" xfId="42" xr:uid="{7B2839EA-21D7-45C7-95C3-1F8B2416B1C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0.68</c:v>
                </c:pt>
                <c:pt idx="1">
                  <c:v>0.65</c:v>
                </c:pt>
                <c:pt idx="2">
                  <c:v>0.68</c:v>
                </c:pt>
                <c:pt idx="3">
                  <c:v>0.74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0.76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8-4B4D-9051-8B1394855D3F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58-4B4D-9051-8B139485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605584"/>
        <c:axId val="1605190096"/>
      </c:barChart>
      <c:catAx>
        <c:axId val="15926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190096"/>
        <c:crosses val="autoZero"/>
        <c:auto val="1"/>
        <c:lblAlgn val="ctr"/>
        <c:lblOffset val="100"/>
        <c:noMultiLvlLbl val="0"/>
      </c:catAx>
      <c:valAx>
        <c:axId val="16051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0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</xdr:row>
      <xdr:rowOff>95250</xdr:rowOff>
    </xdr:from>
    <xdr:to>
      <xdr:col>12</xdr:col>
      <xdr:colOff>266700</xdr:colOff>
      <xdr:row>19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5BC5A-8BBE-5BC6-7E8F-AC6002C5B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sar alcantar" refreshedDate="46313.457830439816" createdVersion="8" refreshedVersion="8" minRefreshableVersion="3" recordCount="10" xr:uid="{BE665383-3FD3-46CC-AEC3-9EF851920FB3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8"/>
    <n v="0.19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8"/>
  </r>
  <r>
    <x v="7"/>
    <x v="1"/>
    <n v="0.68"/>
    <n v="0.19"/>
  </r>
  <r>
    <x v="8"/>
    <x v="1"/>
    <n v="0.66"/>
    <n v="0.19"/>
  </r>
  <r>
    <x v="9"/>
    <x v="1"/>
    <n v="0.65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81E4F-92D7-495B-AB63-E6CCC804117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C4E2-3064-4090-BA6A-9743021C38F9}">
  <dimension ref="A1:K52"/>
  <sheetViews>
    <sheetView zoomScale="76" workbookViewId="0">
      <pane ySplit="1" topLeftCell="A2" activePane="bottomLeft" state="frozen"/>
      <selection pane="bottomLeft" activeCell="H50" sqref="H50"/>
    </sheetView>
  </sheetViews>
  <sheetFormatPr defaultRowHeight="14.4" x14ac:dyDescent="0.3"/>
  <cols>
    <col min="1" max="1" width="11.6640625" bestFit="1" customWidth="1"/>
    <col min="2" max="2" width="17.33203125" bestFit="1" customWidth="1"/>
    <col min="3" max="3" width="13" bestFit="1" customWidth="1"/>
    <col min="4" max="4" width="12" bestFit="1" customWidth="1"/>
    <col min="5" max="5" width="10.6640625" bestFit="1" customWidth="1"/>
    <col min="7" max="7" width="10.33203125" bestFit="1" customWidth="1"/>
    <col min="10" max="10" width="9.6640625" bestFit="1" customWidth="1"/>
    <col min="11" max="11" width="13.77734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30</v>
      </c>
      <c r="C6" s="1">
        <v>0.64</v>
      </c>
      <c r="D6" s="1">
        <v>0.2</v>
      </c>
      <c r="E6" s="1">
        <v>0.16</v>
      </c>
    </row>
    <row r="7" spans="1:11" x14ac:dyDescent="0.3">
      <c r="A7">
        <v>6</v>
      </c>
      <c r="B7" t="s">
        <v>40</v>
      </c>
      <c r="C7" s="1">
        <v>0.68</v>
      </c>
      <c r="D7" s="1">
        <v>0.17</v>
      </c>
      <c r="E7" s="1">
        <v>0.15</v>
      </c>
    </row>
    <row r="8" spans="1:11" x14ac:dyDescent="0.3">
      <c r="A8">
        <v>7</v>
      </c>
      <c r="B8" t="s">
        <v>24</v>
      </c>
      <c r="C8" s="1">
        <v>0.64</v>
      </c>
      <c r="D8" s="1">
        <v>0.21</v>
      </c>
      <c r="E8" s="1">
        <v>0.15</v>
      </c>
    </row>
    <row r="9" spans="1:11" x14ac:dyDescent="0.3">
      <c r="A9">
        <v>8</v>
      </c>
      <c r="B9" t="s">
        <v>13</v>
      </c>
      <c r="C9" s="1">
        <v>0.6</v>
      </c>
      <c r="D9" s="1">
        <v>0.26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23</v>
      </c>
      <c r="C11" s="1">
        <v>0.63</v>
      </c>
      <c r="D11" s="1">
        <v>0.22</v>
      </c>
      <c r="E11" s="1">
        <v>0.15</v>
      </c>
    </row>
    <row r="12" spans="1:11" x14ac:dyDescent="0.3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28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12</v>
      </c>
      <c r="C15" s="1">
        <v>0.62</v>
      </c>
      <c r="D15" s="1">
        <v>0.23</v>
      </c>
      <c r="E15" s="1">
        <v>0.15</v>
      </c>
    </row>
    <row r="16" spans="1:11" x14ac:dyDescent="0.3">
      <c r="A16">
        <v>15</v>
      </c>
      <c r="B16" t="s">
        <v>7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34</v>
      </c>
      <c r="C17" s="1">
        <v>0.69</v>
      </c>
      <c r="D17" s="1">
        <v>0.19</v>
      </c>
      <c r="E17" s="1">
        <v>0.12</v>
      </c>
    </row>
    <row r="18" spans="1:5" x14ac:dyDescent="0.3">
      <c r="A18">
        <v>17</v>
      </c>
      <c r="B18" t="s">
        <v>17</v>
      </c>
      <c r="C18" s="1">
        <v>0.65</v>
      </c>
      <c r="D18" s="1">
        <v>0.2</v>
      </c>
      <c r="E18" s="1">
        <v>0.15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38</v>
      </c>
      <c r="C20" s="1">
        <v>0.67</v>
      </c>
      <c r="D20" s="1">
        <v>0.19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">
      <c r="A24">
        <v>23</v>
      </c>
      <c r="B24" t="s">
        <v>18</v>
      </c>
      <c r="C24" s="1">
        <v>0.65</v>
      </c>
      <c r="D24" s="1">
        <v>0.2</v>
      </c>
      <c r="E24" s="1">
        <v>0.15</v>
      </c>
    </row>
    <row r="25" spans="1:5" x14ac:dyDescent="0.3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25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15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36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26</v>
      </c>
      <c r="C32" s="1">
        <v>0.62</v>
      </c>
      <c r="D32" s="1">
        <v>0.23</v>
      </c>
      <c r="E32" s="1">
        <v>0.15</v>
      </c>
    </row>
    <row r="33" spans="1:5" x14ac:dyDescent="0.3">
      <c r="A33">
        <v>32</v>
      </c>
      <c r="B33" t="s">
        <v>42</v>
      </c>
      <c r="C33" s="1">
        <v>0.67</v>
      </c>
      <c r="D33" s="1">
        <v>0.18</v>
      </c>
      <c r="E33" s="1">
        <v>0.15</v>
      </c>
    </row>
    <row r="34" spans="1:5" x14ac:dyDescent="0.3">
      <c r="A34">
        <v>33</v>
      </c>
      <c r="B34" t="s">
        <v>37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31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5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14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20</v>
      </c>
      <c r="C41" s="1">
        <v>0.65</v>
      </c>
      <c r="D41" s="1">
        <v>0.22</v>
      </c>
      <c r="E41" s="1">
        <v>0.13</v>
      </c>
    </row>
    <row r="42" spans="1:5" x14ac:dyDescent="0.3">
      <c r="A42">
        <v>41</v>
      </c>
      <c r="B42" t="s">
        <v>2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27</v>
      </c>
      <c r="C45" s="1">
        <v>0.66</v>
      </c>
      <c r="D45" s="1">
        <v>0.2</v>
      </c>
      <c r="E45" s="1">
        <v>0.14000000000000001</v>
      </c>
    </row>
    <row r="46" spans="1:5" x14ac:dyDescent="0.3">
      <c r="A46">
        <v>45</v>
      </c>
      <c r="B46" t="s">
        <v>10</v>
      </c>
      <c r="C46" s="1">
        <v>0.67</v>
      </c>
      <c r="D46" s="1">
        <v>0.2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22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0.62</v>
      </c>
      <c r="D50" s="1">
        <v>0.25</v>
      </c>
      <c r="E50" s="1">
        <v>0.13</v>
      </c>
    </row>
    <row r="51" spans="1:5" x14ac:dyDescent="0.3">
      <c r="A51">
        <v>50</v>
      </c>
      <c r="B51" t="s">
        <v>33</v>
      </c>
      <c r="C51" s="1">
        <v>0.66</v>
      </c>
      <c r="D51" s="1">
        <v>0.19</v>
      </c>
      <c r="E51" s="1">
        <v>0.15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A522C4E2-3064-4090-BA6A-9743021C38F9}">
    <sortState xmlns:xlrd2="http://schemas.microsoft.com/office/spreadsheetml/2017/richdata2" ref="A2:E52">
      <sortCondition ref="B1:B52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D674-C78E-4F20-8703-01443A3DC0A1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W9" sqref="AW9"/>
    </sheetView>
  </sheetViews>
  <sheetFormatPr defaultRowHeight="14.4" x14ac:dyDescent="0.3"/>
  <cols>
    <col min="1" max="1" width="10.109375" bestFit="1" customWidth="1"/>
    <col min="2" max="2" width="8.109375" bestFit="1" customWidth="1"/>
    <col min="3" max="3" width="6.33203125" bestFit="1" customWidth="1"/>
    <col min="4" max="4" width="7" bestFit="1" customWidth="1"/>
    <col min="5" max="5" width="8.44140625" bestFit="1" customWidth="1"/>
    <col min="6" max="6" width="8.77734375" bestFit="1" customWidth="1"/>
    <col min="7" max="7" width="8.33203125" bestFit="1" customWidth="1"/>
    <col min="8" max="8" width="10.77734375" bestFit="1" customWidth="1"/>
    <col min="9" max="9" width="8.6640625" bestFit="1" customWidth="1"/>
    <col min="10" max="10" width="16.77734375" bestFit="1" customWidth="1"/>
    <col min="11" max="11" width="6.5546875" bestFit="1" customWidth="1"/>
    <col min="12" max="12" width="7.33203125" bestFit="1" customWidth="1"/>
    <col min="13" max="13" width="6.5546875" bestFit="1" customWidth="1"/>
    <col min="14" max="14" width="5.44140625" bestFit="1" customWidth="1"/>
    <col min="15" max="15" width="6.109375" bestFit="1" customWidth="1"/>
    <col min="16" max="16" width="6.88671875" bestFit="1" customWidth="1"/>
    <col min="17" max="17" width="4.77734375" bestFit="1" customWidth="1"/>
    <col min="18" max="18" width="6.77734375" bestFit="1" customWidth="1"/>
    <col min="19" max="19" width="8.21875" bestFit="1" customWidth="1"/>
    <col min="20" max="20" width="8.6640625" bestFit="1" customWidth="1"/>
    <col min="21" max="21" width="5.88671875" bestFit="1" customWidth="1"/>
    <col min="22" max="22" width="8.33203125" bestFit="1" customWidth="1"/>
    <col min="23" max="23" width="13.21875" bestFit="1" customWidth="1"/>
    <col min="24" max="24" width="8.21875" bestFit="1" customWidth="1"/>
    <col min="25" max="25" width="9.33203125" bestFit="1" customWidth="1"/>
    <col min="26" max="26" width="9.77734375" bestFit="1" customWidth="1"/>
    <col min="27" max="27" width="7.77734375" bestFit="1" customWidth="1"/>
    <col min="28" max="28" width="8" bestFit="1" customWidth="1"/>
    <col min="29" max="29" width="8.77734375" bestFit="1" customWidth="1"/>
    <col min="30" max="30" width="7.109375" bestFit="1" customWidth="1"/>
    <col min="31" max="31" width="14" bestFit="1" customWidth="1"/>
    <col min="32" max="32" width="10" bestFit="1" customWidth="1"/>
    <col min="33" max="33" width="10.6640625" bestFit="1" customWidth="1"/>
    <col min="34" max="34" width="8.5546875" bestFit="1" customWidth="1"/>
    <col min="35" max="35" width="12.6640625" bestFit="1" customWidth="1"/>
    <col min="36" max="36" width="11.5546875" bestFit="1" customWidth="1"/>
    <col min="37" max="37" width="4.77734375" bestFit="1" customWidth="1"/>
    <col min="38" max="38" width="9.21875" bestFit="1" customWidth="1"/>
    <col min="39" max="39" width="6.88671875" bestFit="1" customWidth="1"/>
    <col min="40" max="40" width="11.44140625" bestFit="1" customWidth="1"/>
    <col min="41" max="41" width="11.21875" bestFit="1" customWidth="1"/>
    <col min="42" max="42" width="12.6640625" bestFit="1" customWidth="1"/>
    <col min="43" max="43" width="11.5546875" bestFit="1" customWidth="1"/>
    <col min="44" max="44" width="9.6640625" bestFit="1" customWidth="1"/>
    <col min="45" max="45" width="5.5546875" bestFit="1" customWidth="1"/>
    <col min="46" max="46" width="4.77734375" bestFit="1" customWidth="1"/>
    <col min="47" max="47" width="7.88671875" bestFit="1" customWidth="1"/>
    <col min="48" max="48" width="7" bestFit="1" customWidth="1"/>
    <col min="49" max="49" width="10.44140625" bestFit="1" customWidth="1"/>
    <col min="50" max="50" width="11.44140625" bestFit="1" customWidth="1"/>
    <col min="51" max="51" width="9.33203125" bestFit="1" customWidth="1"/>
    <col min="52" max="52" width="8.33203125" bestFit="1" customWidth="1"/>
  </cols>
  <sheetData>
    <row r="1" spans="1:52" x14ac:dyDescent="0.3">
      <c r="A1" t="s">
        <v>0</v>
      </c>
      <c r="B1" t="s">
        <v>3</v>
      </c>
      <c r="C1" t="s">
        <v>50</v>
      </c>
      <c r="D1" t="s">
        <v>19</v>
      </c>
      <c r="E1" t="s">
        <v>16</v>
      </c>
      <c r="F1" t="s">
        <v>30</v>
      </c>
      <c r="G1" t="s">
        <v>40</v>
      </c>
      <c r="H1" t="s">
        <v>24</v>
      </c>
      <c r="I1" t="s">
        <v>13</v>
      </c>
      <c r="J1" t="s">
        <v>51</v>
      </c>
      <c r="K1" t="s">
        <v>23</v>
      </c>
      <c r="L1" t="s">
        <v>8</v>
      </c>
      <c r="M1" t="s">
        <v>48</v>
      </c>
      <c r="N1" t="s">
        <v>28</v>
      </c>
      <c r="O1" t="s">
        <v>12</v>
      </c>
      <c r="P1" t="s">
        <v>7</v>
      </c>
      <c r="Q1" t="s">
        <v>34</v>
      </c>
      <c r="R1" t="s">
        <v>17</v>
      </c>
      <c r="S1" t="s">
        <v>6</v>
      </c>
      <c r="T1" t="s">
        <v>38</v>
      </c>
      <c r="U1" t="s">
        <v>45</v>
      </c>
      <c r="V1" t="s">
        <v>21</v>
      </c>
      <c r="W1" t="s">
        <v>43</v>
      </c>
      <c r="X1" t="s">
        <v>18</v>
      </c>
      <c r="Y1" t="s">
        <v>32</v>
      </c>
      <c r="Z1" t="s">
        <v>25</v>
      </c>
      <c r="AA1" t="s">
        <v>29</v>
      </c>
      <c r="AB1" t="s">
        <v>49</v>
      </c>
      <c r="AC1" t="s">
        <v>35</v>
      </c>
      <c r="AD1" t="s">
        <v>15</v>
      </c>
      <c r="AE1" t="s">
        <v>36</v>
      </c>
      <c r="AF1" t="s">
        <v>26</v>
      </c>
      <c r="AG1" t="s">
        <v>42</v>
      </c>
      <c r="AH1" t="s">
        <v>37</v>
      </c>
      <c r="AI1" t="s">
        <v>1</v>
      </c>
      <c r="AJ1" t="s">
        <v>31</v>
      </c>
      <c r="AK1" t="s">
        <v>5</v>
      </c>
      <c r="AL1" t="s">
        <v>14</v>
      </c>
      <c r="AM1" t="s">
        <v>39</v>
      </c>
      <c r="AN1" t="s">
        <v>11</v>
      </c>
      <c r="AO1" t="s">
        <v>20</v>
      </c>
      <c r="AP1" t="s">
        <v>2</v>
      </c>
      <c r="AQ1" t="s">
        <v>44</v>
      </c>
      <c r="AR1" t="s">
        <v>4</v>
      </c>
      <c r="AS1" t="s">
        <v>27</v>
      </c>
      <c r="AT1" t="s">
        <v>10</v>
      </c>
      <c r="AU1" t="s">
        <v>47</v>
      </c>
      <c r="AV1" t="s">
        <v>22</v>
      </c>
      <c r="AW1" t="s">
        <v>41</v>
      </c>
      <c r="AX1" t="s">
        <v>9</v>
      </c>
      <c r="AY1" t="s">
        <v>33</v>
      </c>
      <c r="AZ1" t="s">
        <v>46</v>
      </c>
    </row>
    <row r="2" spans="1:52" x14ac:dyDescent="0.3">
      <c r="A2" t="s">
        <v>56</v>
      </c>
      <c r="B2" s="1">
        <v>0.65</v>
      </c>
      <c r="C2" s="1">
        <v>0.71</v>
      </c>
      <c r="D2" s="1">
        <v>0.66</v>
      </c>
      <c r="E2" s="1">
        <v>0.68</v>
      </c>
      <c r="F2" s="1">
        <v>0.64</v>
      </c>
      <c r="G2" s="1">
        <v>0.68</v>
      </c>
      <c r="H2" s="1">
        <v>0.64</v>
      </c>
      <c r="I2" s="1">
        <v>0.6</v>
      </c>
      <c r="J2" s="1">
        <v>0.67</v>
      </c>
      <c r="K2" s="1">
        <v>0.63</v>
      </c>
      <c r="L2" s="1">
        <v>0.63</v>
      </c>
      <c r="M2" s="1">
        <v>0.73</v>
      </c>
      <c r="N2" s="1">
        <v>0.68</v>
      </c>
      <c r="O2" s="1">
        <v>0.62</v>
      </c>
      <c r="P2" s="1">
        <v>0.65</v>
      </c>
      <c r="Q2" s="1">
        <v>0.69</v>
      </c>
      <c r="R2" s="1">
        <v>0.65</v>
      </c>
      <c r="S2" s="1">
        <v>0.64</v>
      </c>
      <c r="T2" s="1">
        <v>0.67</v>
      </c>
      <c r="U2" s="1">
        <v>0.69</v>
      </c>
      <c r="V2" s="1">
        <v>0.62</v>
      </c>
      <c r="W2" s="1">
        <v>0.63</v>
      </c>
      <c r="X2" s="1">
        <v>0.65</v>
      </c>
      <c r="Y2" s="1">
        <v>0.68</v>
      </c>
      <c r="Z2" s="1">
        <v>0.68</v>
      </c>
      <c r="AA2" s="1">
        <v>0.67</v>
      </c>
      <c r="AB2" s="1">
        <v>0.74</v>
      </c>
      <c r="AC2" s="1">
        <v>0.69</v>
      </c>
      <c r="AD2" s="1">
        <v>0.68</v>
      </c>
      <c r="AE2" s="1">
        <v>0.67</v>
      </c>
      <c r="AF2" s="1">
        <v>0.62</v>
      </c>
      <c r="AG2" s="1">
        <v>0.67</v>
      </c>
      <c r="AH2" s="1">
        <v>0.64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0.61</v>
      </c>
      <c r="AO2" s="1">
        <v>0.65</v>
      </c>
      <c r="AP2" s="1">
        <v>0.67</v>
      </c>
      <c r="AQ2" s="1">
        <v>0.76</v>
      </c>
      <c r="AR2" s="1">
        <v>0.65</v>
      </c>
      <c r="AS2" s="1">
        <v>0.66</v>
      </c>
      <c r="AT2" s="1">
        <v>0.67</v>
      </c>
      <c r="AU2" s="1">
        <v>0.69</v>
      </c>
      <c r="AV2" s="1">
        <v>0.64</v>
      </c>
      <c r="AW2" s="1">
        <v>0.68</v>
      </c>
      <c r="AX2" s="1">
        <v>0.62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0.21</v>
      </c>
      <c r="E3" s="1">
        <v>0.2</v>
      </c>
      <c r="F3" s="1">
        <v>0.2</v>
      </c>
      <c r="G3" s="1">
        <v>0.17</v>
      </c>
      <c r="H3" s="1">
        <v>0.21</v>
      </c>
      <c r="I3" s="1">
        <v>0.26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0.19</v>
      </c>
      <c r="R3" s="1">
        <v>0.2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0.18</v>
      </c>
      <c r="AH3" s="1">
        <v>0.2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0.24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</v>
      </c>
      <c r="AU3" s="1">
        <v>0.17</v>
      </c>
      <c r="AV3" s="1">
        <v>0.22</v>
      </c>
      <c r="AW3" s="1">
        <v>0.18</v>
      </c>
      <c r="AX3" s="1">
        <v>0.25</v>
      </c>
      <c r="AY3" s="1">
        <v>0.19</v>
      </c>
      <c r="AZ3" s="1">
        <v>0.16</v>
      </c>
    </row>
    <row r="4" spans="1:52" x14ac:dyDescent="0.3">
      <c r="A4" t="s">
        <v>58</v>
      </c>
      <c r="B4" s="1">
        <v>0.12</v>
      </c>
      <c r="C4" s="1">
        <v>0.14000000000000001</v>
      </c>
      <c r="D4" s="1">
        <v>0.13</v>
      </c>
      <c r="E4" s="1">
        <v>0.12</v>
      </c>
      <c r="F4" s="1">
        <v>0.16</v>
      </c>
      <c r="G4" s="1">
        <v>0.15</v>
      </c>
      <c r="H4" s="1">
        <v>0.15</v>
      </c>
      <c r="I4" s="1">
        <v>0.14000000000000001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0.13</v>
      </c>
      <c r="Q4" s="1">
        <v>0.12</v>
      </c>
      <c r="R4" s="1">
        <v>0.15</v>
      </c>
      <c r="S4" s="1">
        <v>0.13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0.15</v>
      </c>
      <c r="Y4" s="1">
        <v>0.13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0.12</v>
      </c>
      <c r="AE4" s="1">
        <v>0.13</v>
      </c>
      <c r="AF4" s="1">
        <v>0.15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0.14000000000000001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0.15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1BE4-5374-43C1-B12B-5F26AF696C37}">
  <dimension ref="A1:D26"/>
  <sheetViews>
    <sheetView tabSelected="1" workbookViewId="0">
      <selection activeCell="F3" sqref="F3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9" bestFit="1" customWidth="1"/>
  </cols>
  <sheetData>
    <row r="1" spans="1:4" x14ac:dyDescent="0.3">
      <c r="A1" t="s">
        <v>59</v>
      </c>
      <c r="B1" t="s">
        <v>60</v>
      </c>
      <c r="C1" t="s">
        <v>56</v>
      </c>
      <c r="D1" t="s">
        <v>57</v>
      </c>
    </row>
    <row r="2" spans="1:4" x14ac:dyDescent="0.3">
      <c r="A2" t="s">
        <v>41</v>
      </c>
      <c r="B2" t="s">
        <v>61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3">
      <c r="A3" t="s">
        <v>39</v>
      </c>
      <c r="B3" t="s">
        <v>61</v>
      </c>
      <c r="C3" s="4">
        <f>VLOOKUP('sales region lookup'!A3, 'by search term'!B:C, 2, FALSE)</f>
        <v>0.69</v>
      </c>
      <c r="D3" s="4">
        <f>_xlfn.XLOOKUP(A3, 'by search term'!B2:B53, 'by search term'!D2:D53, "not found")</f>
        <v>0.18</v>
      </c>
    </row>
    <row r="4" spans="1:4" x14ac:dyDescent="0.3">
      <c r="A4" t="s">
        <v>28</v>
      </c>
      <c r="B4" t="s">
        <v>61</v>
      </c>
      <c r="C4" s="4">
        <f>VLOOKUP('sales region lookup'!A4, 'by search term'!B:C, 2, FALSE)</f>
        <v>0.68</v>
      </c>
      <c r="D4" s="4">
        <f>_xlfn.XLOOKUP(A4, 'by search term'!B3:B54, 'by search term'!D3:D54, "not found")</f>
        <v>0.19</v>
      </c>
    </row>
    <row r="5" spans="1:4" x14ac:dyDescent="0.3">
      <c r="A5" t="s">
        <v>49</v>
      </c>
      <c r="B5" t="s">
        <v>61</v>
      </c>
      <c r="C5" s="4">
        <f>VLOOKUP('sales region lookup'!A5, 'by search term'!B:C, 2, FALSE)</f>
        <v>0.74</v>
      </c>
      <c r="D5" s="4">
        <f>_xlfn.XLOOKUP(A5, 'by search term'!B4:B55, 'by search term'!D4:D55, "not found")</f>
        <v>0.14000000000000001</v>
      </c>
    </row>
    <row r="6" spans="1:4" x14ac:dyDescent="0.3">
      <c r="A6" t="s">
        <v>31</v>
      </c>
      <c r="B6" t="s">
        <v>62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3">
      <c r="A7" t="s">
        <v>44</v>
      </c>
      <c r="B7" t="s">
        <v>62</v>
      </c>
      <c r="C7" s="4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3">
      <c r="A8" t="s">
        <v>35</v>
      </c>
      <c r="B8" t="s">
        <v>62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x14ac:dyDescent="0.3">
      <c r="A9" t="s">
        <v>32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0.19</v>
      </c>
    </row>
    <row r="10" spans="1:4" x14ac:dyDescent="0.3">
      <c r="A10" t="s">
        <v>33</v>
      </c>
      <c r="B10" t="s">
        <v>62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0.19</v>
      </c>
    </row>
    <row r="11" spans="1:4" x14ac:dyDescent="0.3">
      <c r="A11" t="s">
        <v>18</v>
      </c>
      <c r="B11" t="s">
        <v>62</v>
      </c>
      <c r="C11" s="4">
        <f>VLOOKUP('sales region lookup'!A11, 'by search term'!B:C, 2, FALSE)</f>
        <v>0.65</v>
      </c>
      <c r="D11" s="4">
        <f>_xlfn.XLOOKUP(A11, 'by search term'!B10:B61, 'by search term'!D10:D61, "not found")</f>
        <v>0.2</v>
      </c>
    </row>
    <row r="13" spans="1:4" x14ac:dyDescent="0.3">
      <c r="A13" s="5" t="s">
        <v>60</v>
      </c>
      <c r="B13" t="s">
        <v>67</v>
      </c>
    </row>
    <row r="15" spans="1:4" x14ac:dyDescent="0.3">
      <c r="A15" s="5" t="s">
        <v>63</v>
      </c>
      <c r="B15" t="s">
        <v>65</v>
      </c>
      <c r="C15" t="s">
        <v>66</v>
      </c>
    </row>
    <row r="16" spans="1:4" x14ac:dyDescent="0.3">
      <c r="A16" s="6" t="s">
        <v>28</v>
      </c>
      <c r="B16" s="1">
        <v>0.68</v>
      </c>
      <c r="C16" s="1">
        <v>0.19</v>
      </c>
    </row>
    <row r="17" spans="1:3" x14ac:dyDescent="0.3">
      <c r="A17" s="6" t="s">
        <v>18</v>
      </c>
      <c r="B17" s="1">
        <v>0.65</v>
      </c>
      <c r="C17" s="1">
        <v>0.2</v>
      </c>
    </row>
    <row r="18" spans="1:3" x14ac:dyDescent="0.3">
      <c r="A18" s="6" t="s">
        <v>32</v>
      </c>
      <c r="B18" s="1">
        <v>0.68</v>
      </c>
      <c r="C18" s="1">
        <v>0.19</v>
      </c>
    </row>
    <row r="19" spans="1:3" x14ac:dyDescent="0.3">
      <c r="A19" s="6" t="s">
        <v>49</v>
      </c>
      <c r="B19" s="1">
        <v>0.74</v>
      </c>
      <c r="C19" s="1">
        <v>0.14000000000000001</v>
      </c>
    </row>
    <row r="20" spans="1:3" x14ac:dyDescent="0.3">
      <c r="A20" s="6" t="s">
        <v>35</v>
      </c>
      <c r="B20" s="1">
        <v>0.69</v>
      </c>
      <c r="C20" s="1">
        <v>0.18</v>
      </c>
    </row>
    <row r="21" spans="1:3" x14ac:dyDescent="0.3">
      <c r="A21" s="6" t="s">
        <v>31</v>
      </c>
      <c r="B21" s="1">
        <v>0.69</v>
      </c>
      <c r="C21" s="1">
        <v>0.19</v>
      </c>
    </row>
    <row r="22" spans="1:3" x14ac:dyDescent="0.3">
      <c r="A22" s="6" t="s">
        <v>39</v>
      </c>
      <c r="B22" s="1">
        <v>0.69</v>
      </c>
      <c r="C22" s="1">
        <v>0.18</v>
      </c>
    </row>
    <row r="23" spans="1:3" x14ac:dyDescent="0.3">
      <c r="A23" s="6" t="s">
        <v>44</v>
      </c>
      <c r="B23" s="1">
        <v>0.76</v>
      </c>
      <c r="C23" s="1">
        <v>0.14000000000000001</v>
      </c>
    </row>
    <row r="24" spans="1:3" x14ac:dyDescent="0.3">
      <c r="A24" s="6" t="s">
        <v>41</v>
      </c>
      <c r="B24" s="1">
        <v>0.68</v>
      </c>
      <c r="C24" s="1">
        <v>0.18</v>
      </c>
    </row>
    <row r="25" spans="1:3" x14ac:dyDescent="0.3">
      <c r="A25" s="6" t="s">
        <v>33</v>
      </c>
      <c r="B25" s="1">
        <v>0.66</v>
      </c>
      <c r="C25" s="1">
        <v>0.19</v>
      </c>
    </row>
    <row r="26" spans="1:3" x14ac:dyDescent="0.3">
      <c r="A26" s="6" t="s">
        <v>64</v>
      </c>
      <c r="B26" s="1">
        <v>6.92</v>
      </c>
      <c r="C26" s="1">
        <v>1.78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alcantar</cp:lastModifiedBy>
  <cp:lastPrinted>2026-10-16T06:31:48Z</cp:lastPrinted>
  <dcterms:created xsi:type="dcterms:W3CDTF">2026-10-15T18:46:49Z</dcterms:created>
  <dcterms:modified xsi:type="dcterms:W3CDTF">2026-10-18T19:56:53Z</dcterms:modified>
</cp:coreProperties>
</file>