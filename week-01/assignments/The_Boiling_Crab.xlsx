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"/>
    </mc:Choice>
  </mc:AlternateContent>
  <xr:revisionPtr revIDLastSave="74" documentId="13_ncr:1_{AD74628D-BE06-4FC1-BE04-2187DD70E9AC}" xr6:coauthVersionLast="47" xr6:coauthVersionMax="47" xr10:uidLastSave="{9ED9BDE6-125A-44BF-A3FD-7D5BEDC0B4EF}"/>
  <bookViews>
    <workbookView xWindow="804" yWindow="396" windowWidth="21768" windowHeight="11808" xr2:uid="{00000000-000D-0000-FFFF-FFFF00000000}"/>
  </bookViews>
  <sheets>
    <sheet name="Sheet2" sheetId="4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D4" i="1"/>
  <c r="D5" i="1"/>
  <c r="D6" i="1"/>
  <c r="J7" i="1"/>
  <c r="D2" i="1"/>
  <c r="D7" i="1" s="1"/>
  <c r="D3" i="1"/>
</calcChain>
</file>

<file path=xl/sharedStrings.xml><?xml version="1.0" encoding="utf-8"?>
<sst xmlns="http://schemas.openxmlformats.org/spreadsheetml/2006/main" count="42" uniqueCount="36">
  <si>
    <t>Id</t>
  </si>
  <si>
    <t>Start time</t>
  </si>
  <si>
    <t>Completion time</t>
  </si>
  <si>
    <t>Email</t>
  </si>
  <si>
    <t>Name</t>
  </si>
  <si>
    <t>How was your experience on a sale of 1-5? (5 being excellent and 1 being bad)</t>
  </si>
  <si>
    <t>What could The Boiling Crab have done to improve your experience, or what did you enjoy the most about your visit?</t>
  </si>
  <si>
    <t>How did you hear about us?</t>
  </si>
  <si>
    <t>How was the quality of the food?</t>
  </si>
  <si>
    <t>How was our staff interaction?</t>
  </si>
  <si>
    <t>anonymous</t>
  </si>
  <si>
    <t>5</t>
  </si>
  <si>
    <t>I loved how our food came out fast.</t>
  </si>
  <si>
    <t>social media</t>
  </si>
  <si>
    <t xml:space="preserve">Mary was excellent . </t>
  </si>
  <si>
    <t>Shorter wait times for a table would be great.</t>
  </si>
  <si>
    <t>a friend.</t>
  </si>
  <si>
    <t>10/10</t>
  </si>
  <si>
    <t>Time to complete</t>
  </si>
  <si>
    <t xml:space="preserve">Food quality was very good. </t>
  </si>
  <si>
    <t>Friends and family</t>
  </si>
  <si>
    <t>Quick and friendly service.</t>
  </si>
  <si>
    <t>4</t>
  </si>
  <si>
    <t>What I enjoyed most was the comfortable atmosphere of the restaurant.</t>
  </si>
  <si>
    <t>TV commercials</t>
  </si>
  <si>
    <t>The staff was welcoming and friendly.</t>
  </si>
  <si>
    <t>The quality of the food.</t>
  </si>
  <si>
    <t xml:space="preserve">Google </t>
  </si>
  <si>
    <t>Attended quickly and they were friendly.</t>
  </si>
  <si>
    <t>Row Labels</t>
  </si>
  <si>
    <t>Grand Total</t>
  </si>
  <si>
    <t>12 AM</t>
  </si>
  <si>
    <t>Count of Minutes (Time to complete)</t>
  </si>
  <si>
    <t>(blank)</t>
  </si>
  <si>
    <t>Count of How was your experience on a sale of 1-5? (5 being excellent and 1 being bad)</t>
  </si>
  <si>
    <t>Count of Time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</si>
</sst>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49" fontId="0" fillId="0" borderId="0" xfId="0" applyNumberFormat="1"/>
    <xf numFmtId="164" fontId="0" fillId="0" borderId="0" xfId="0" applyNumberFormat="1"/>
    <xf numFmtId="0" fontId="0" fillId="0" borderId="0" xfId="0" quotePrefix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Boiling Crab.xlsx]Sheet2!PivotTable1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Count of How was your experience on a sale of 1-5? (5 being excellent and 1 being bad)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Sheet2!$A$2:$A$4</c:f>
              <c:multiLvlStrCache>
                <c:ptCount val="1"/>
                <c:lvl>
                  <c:pt idx="0">
                    <c:v>12 AM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Sheet2!$B$2:$B$4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0-4F37-9CFB-C553347D37C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Count of Minutes (Time to complete)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Sheet2!$A$2:$A$4</c:f>
              <c:multiLvlStrCache>
                <c:ptCount val="1"/>
                <c:lvl>
                  <c:pt idx="0">
                    <c:v>12 AM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Sheet2!$C$2:$C$4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0-4F37-9CFB-C553347D37C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Count of Time to complete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Sheet2!$A$2:$A$4</c:f>
              <c:multiLvlStrCache>
                <c:ptCount val="1"/>
                <c:lvl>
                  <c:pt idx="0">
                    <c:v>12 AM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Sheet2!$D$2:$D$4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0-4F37-9CFB-C553347D37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21648832"/>
        <c:axId val="1527147008"/>
      </c:barChart>
      <c:catAx>
        <c:axId val="15216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47008"/>
        <c:crosses val="autoZero"/>
        <c:auto val="1"/>
        <c:lblAlgn val="ctr"/>
        <c:lblOffset val="100"/>
        <c:noMultiLvlLbl val="0"/>
      </c:catAx>
      <c:valAx>
        <c:axId val="1527147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164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497633</xdr:colOff>
      <xdr:row>5</xdr:row>
      <xdr:rowOff>171061</xdr:rowOff>
    </xdr:from>
    <xdr:to>
      <xdr:col>1</xdr:col>
      <xdr:colOff>5047862</xdr:colOff>
      <xdr:row>20</xdr:row>
      <xdr:rowOff>171061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C0FEA-8D87-B46C-36A0-99EC1C698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sar alcantar" refreshedDate="46314.452232870368" createdVersion="8" refreshedVersion="8" minRefreshableVersion="3" recordCount="5" xr:uid="{B30FB297-0257-466B-8A29-2ECA9325ED43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5"/>
    </cacheField>
    <cacheField name="Start time" numFmtId="164">
      <sharedItems containsSemiMixedTypes="0" containsNonDate="0" containsDate="1" containsString="0" minDate="2026-10-18T13:46:19" maxDate="2026-10-18T21:24:49"/>
    </cacheField>
    <cacheField name="Completion time" numFmtId="164">
      <sharedItems containsSemiMixedTypes="0" containsNonDate="0" containsDate="1" containsString="0" minDate="2026-10-18T13:47:30" maxDate="2026-10-18T21:26:23"/>
    </cacheField>
    <cacheField name="Time to complete" numFmtId="164">
      <sharedItems containsSemiMixedTypes="0" containsNonDate="0" containsDate="1" containsString="0" minDate="1899-12-30T00:00:38" maxDate="1899-12-30T00:06:35" count="5">
        <d v="1899-12-30T00:01:11"/>
        <d v="1899-12-30T00:00:38"/>
        <d v="1899-12-30T00:06:35"/>
        <d v="1899-12-30T00:06:29"/>
        <d v="1899-12-30T00:01:34"/>
      </sharedItems>
      <fieldGroup par="13"/>
    </cacheField>
    <cacheField name="Email" numFmtId="0">
      <sharedItems/>
    </cacheField>
    <cacheField name="Name" numFmtId="0">
      <sharedItems containsNonDate="0" containsString="0" containsBlank="1" count="1">
        <m/>
      </sharedItems>
    </cacheField>
    <cacheField name="How was your experience on a sale of 1-5? (5 being excellent and 1 being bad)" numFmtId="0">
      <sharedItems containsMixedTypes="1" containsNumber="1" containsInteger="1" minValue="4" maxValue="4" count="3">
        <s v="5"/>
        <n v="4"/>
        <s v="4"/>
      </sharedItems>
    </cacheField>
    <cacheField name="What could The Boiling Crab have done to improve your experience, or what did you enjoy the most about your visit?" numFmtId="0">
      <sharedItems/>
    </cacheField>
    <cacheField name="How did you hear about us?" numFmtId="0">
      <sharedItems/>
    </cacheField>
    <cacheField name="How was the quality of the food?" numFmtId="0">
      <sharedItems containsSemiMixedTypes="0" containsString="0" containsNumber="1" containsInteger="1" minValue="4" maxValue="5"/>
    </cacheField>
    <cacheField name="How was our staff interaction?" numFmtId="0">
      <sharedItems/>
    </cacheField>
    <cacheField name="Seconds (Time to complete)" numFmtId="0" databaseField="0">
      <fieldGroup base="3">
        <rangePr groupBy="seconds" startDate="1899-12-30T00:00:38" endDate="1899-12-30T00:06:3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38" endDate="1899-12-30T00:06:3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38" endDate="1899-12-30T00:06:35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10-18T13:46:19"/>
    <d v="2026-10-18T13:47:30"/>
    <x v="0"/>
    <s v="anonymous"/>
    <x v="0"/>
    <x v="0"/>
    <s v="I loved how our food came out fast."/>
    <s v="social media"/>
    <n v="5"/>
    <s v="Mary was excellent . "/>
  </r>
  <r>
    <n v="2"/>
    <d v="2026-10-18T13:47:38"/>
    <d v="2026-10-18T13:48:16"/>
    <x v="1"/>
    <s v="anonymous"/>
    <x v="0"/>
    <x v="1"/>
    <s v="Shorter wait times for a table would be great."/>
    <s v="a friend."/>
    <n v="5"/>
    <s v="10/10"/>
  </r>
  <r>
    <n v="3"/>
    <d v="2026-10-18T19:20:06"/>
    <d v="2026-10-18T19:26:41"/>
    <x v="2"/>
    <s v="anonymous"/>
    <x v="0"/>
    <x v="0"/>
    <s v="Food quality was very good. "/>
    <s v="Friends and family"/>
    <n v="5"/>
    <s v="Quick and friendly service."/>
  </r>
  <r>
    <n v="4"/>
    <d v="2026-10-18T20:39:11"/>
    <d v="2026-10-18T20:45:40"/>
    <x v="3"/>
    <s v="anonymous"/>
    <x v="0"/>
    <x v="2"/>
    <s v="What I enjoyed most was the comfortable atmosphere of the restaurant."/>
    <s v="TV commercials"/>
    <n v="4"/>
    <s v="The staff was welcoming and friendly."/>
  </r>
  <r>
    <n v="5"/>
    <d v="2026-10-18T21:24:49"/>
    <d v="2026-10-18T21:26:23"/>
    <x v="4"/>
    <s v="anonymous"/>
    <x v="0"/>
    <x v="2"/>
    <s v="The quality of the food."/>
    <s v="Google "/>
    <n v="4"/>
    <s v="Attended quickly and they were friendly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F5E6E-9595-4CB7-8EA7-5F6ACD3DFAD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4" firstHeaderRow="0" firstDataRow="1" firstDataCol="1"/>
  <pivotFields count="14">
    <pivotField showAll="0"/>
    <pivotField numFmtId="164" showAll="0"/>
    <pivotField numFmtId="164" showAll="0"/>
    <pivotField dataField="1" numFmtId="164" showAll="0">
      <items count="6">
        <item x="1"/>
        <item x="0"/>
        <item x="4"/>
        <item x="3"/>
        <item x="2"/>
        <item t="default"/>
      </items>
    </pivotField>
    <pivotField showAll="0"/>
    <pivotField axis="axisRow" showAll="0">
      <items count="2">
        <item x="0"/>
        <item t="default"/>
      </items>
    </pivotField>
    <pivotField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dataField="1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5"/>
    <field x="13"/>
    <field x="11"/>
  </rowFields>
  <rowItems count="3">
    <i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How was your experience on a sale of 1-5? (5 being excellent and 1 being bad)" fld="6" subtotal="count" baseField="0" baseItem="0"/>
    <dataField name="Count of Minutes (Time to complete)" fld="12" subtotal="count" baseField="0" baseItem="0"/>
    <dataField name="Count of Time to complete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7" totalsRowCount="1">
  <autoFilter ref="A1:K6" xr:uid="{00000000-0009-0000-0100-000001000000}"/>
  <tableColumns count="11">
    <tableColumn id="1" xr3:uid="{00000000-0010-0000-0000-000001000000}" name="Id" data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8" totalsRowDxfId="1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6" totalsRowDxfId="15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3A120BFF-6E10-4EFD-A2E5-94FD4E078472}" name="Time to complete" totalsRowFunction="custom" dataDxfId="14" totalsRowDxfId="13">
      <calculatedColumnFormula>C2-B2</calculatedColumnFormula>
      <totalsRowFormula>AVERAGE(D2:D6)</totalsRowFormula>
    </tableColumn>
    <tableColumn id="4" xr3:uid="{00000000-0010-0000-0000-000004000000}" name="Email" dataDxfId="12" totalsRow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 totalsRow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as your experience on a sale of 1-5? (5 being excellent and 1 being bad)" totalsRowFunction="average" dataDxfId="8" totalsRowDxfId="7">
      <extLst>
        <ext xmlns:xlmsforms="http://schemas.microsoft.com/office/spreadsheetml/2023/msForms" uri="{FCC71383-01E1-4257-9335-427F07BE8D7F}">
          <xlmsforms:question id="rd8509d08e8d843ff972286dfd686d01a"/>
        </ext>
      </extLst>
    </tableColumn>
    <tableColumn id="7" xr3:uid="{00000000-0010-0000-0000-000007000000}" name="What could The Boiling Crab have done to improve your experience, or what did you enjoy the most about your visit?" dataDxfId="6" totalsRowDxfId="5">
      <extLst>
        <ext xmlns:xlmsforms="http://schemas.microsoft.com/office/spreadsheetml/2023/msForms" uri="{FCC71383-01E1-4257-9335-427F07BE8D7F}">
          <xlmsforms:question id="r212d2b0423274b97b5c15b1fe5da8b46"/>
        </ext>
      </extLst>
    </tableColumn>
    <tableColumn id="8" xr3:uid="{00000000-0010-0000-0000-000008000000}" name="How did you hear about us?" dataDxfId="4" totalsRowDxfId="3">
      <extLst>
        <ext xmlns:xlmsforms="http://schemas.microsoft.com/office/spreadsheetml/2023/msForms" uri="{FCC71383-01E1-4257-9335-427F07BE8D7F}">
          <xlmsforms:question id="r4b092cfa614145688900a0d780e3d150"/>
        </ext>
      </extLst>
    </tableColumn>
    <tableColumn id="9" xr3:uid="{00000000-0010-0000-0000-000009000000}" name="How was the quality of the food?" totalsRowFunction="custom" dataDxfId="2">
      <totalsRowFormula>AVERAGE(J2:J6)</totalsRowFormula>
      <extLst>
        <ext xmlns:xlmsforms="http://schemas.microsoft.com/office/spreadsheetml/2023/msForms" uri="{FCC71383-01E1-4257-9335-427F07BE8D7F}">
          <xlmsforms:question id="r43d569778d5d4e35807ffe4361865f6b"/>
        </ext>
      </extLst>
    </tableColumn>
    <tableColumn id="10" xr3:uid="{00000000-0010-0000-0000-00000A000000}" name="How was our staff interaction?" dataDxfId="1" totalsRowDxfId="0">
      <extLst>
        <ext xmlns:xlmsforms="http://schemas.microsoft.com/office/spreadsheetml/2023/msForms" uri="{FCC71383-01E1-4257-9335-427F07BE8D7F}">
          <xlmsforms:question id="rdb9ac99e15884a0081258770fa7279a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5fZevULAnlLiu_8QnOJvthUM1gySzU5Rkk2VzMzVFVSSkJXWVoxN1A2Ti4u" isFormConnected="1" maxResponseId="5" latestEventMarker="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rd8509d08e8d843ff972286dfd686d01a</xlmsforms:syncedQuestionId>
        <xlmsforms:syncedQuestionId>r212d2b0423274b97b5c15b1fe5da8b46</xlmsforms:syncedQuestionId>
        <xlmsforms:syncedQuestionId>r4b092cfa614145688900a0d780e3d150</xlmsforms:syncedQuestionId>
        <xlmsforms:syncedQuestionId>r43d569778d5d4e35807ffe4361865f6b</xlmsforms:syncedQuestionId>
        <xlmsforms:syncedQuestionId>rdb9ac99e15884a0081258770fa7279a0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07BF-42A8-4E31-979E-1F8F94CDE11D}">
  <dimension ref="A1:D4"/>
  <sheetViews>
    <sheetView tabSelected="1" zoomScale="93" workbookViewId="0">
      <selection activeCell="C9" sqref="C9"/>
    </sheetView>
  </sheetViews>
  <sheetFormatPr defaultRowHeight="14.4" x14ac:dyDescent="0.3"/>
  <cols>
    <col min="1" max="1" width="12.5546875" bestFit="1" customWidth="1"/>
    <col min="2" max="2" width="75.5546875" bestFit="1" customWidth="1"/>
    <col min="3" max="3" width="32.6640625" bestFit="1" customWidth="1"/>
    <col min="4" max="4" width="23.77734375" bestFit="1" customWidth="1"/>
  </cols>
  <sheetData>
    <row r="1" spans="1:4" x14ac:dyDescent="0.3">
      <c r="A1" s="6" t="s">
        <v>29</v>
      </c>
      <c r="B1" t="s">
        <v>34</v>
      </c>
      <c r="C1" t="s">
        <v>32</v>
      </c>
      <c r="D1" t="s">
        <v>35</v>
      </c>
    </row>
    <row r="2" spans="1:4" x14ac:dyDescent="0.3">
      <c r="A2" s="7" t="s">
        <v>33</v>
      </c>
      <c r="B2" s="9">
        <v>5</v>
      </c>
      <c r="C2" s="9">
        <v>5</v>
      </c>
      <c r="D2" s="9">
        <v>5</v>
      </c>
    </row>
    <row r="3" spans="1:4" x14ac:dyDescent="0.3">
      <c r="A3" s="8" t="s">
        <v>31</v>
      </c>
      <c r="B3" s="9">
        <v>5</v>
      </c>
      <c r="C3" s="9">
        <v>5</v>
      </c>
      <c r="D3" s="9">
        <v>5</v>
      </c>
    </row>
    <row r="4" spans="1:4" x14ac:dyDescent="0.3">
      <c r="A4" s="7" t="s">
        <v>30</v>
      </c>
      <c r="B4" s="9">
        <v>5</v>
      </c>
      <c r="C4" s="9">
        <v>5</v>
      </c>
      <c r="D4" s="9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A7" sqref="A7"/>
    </sheetView>
  </sheetViews>
  <sheetFormatPr defaultRowHeight="14.4" x14ac:dyDescent="0.3"/>
  <cols>
    <col min="1" max="1" width="4.88671875" bestFit="1" customWidth="1"/>
    <col min="2" max="2" width="18.33203125" style="3" bestFit="1" customWidth="1"/>
    <col min="3" max="3" width="18.33203125" bestFit="1" customWidth="1"/>
    <col min="4" max="4" width="18.5546875" bestFit="1" customWidth="1"/>
    <col min="5" max="5" width="10.44140625" bestFit="1" customWidth="1"/>
    <col min="6" max="6" width="8.21875" bestFit="1" customWidth="1"/>
    <col min="7" max="7" width="69.77734375" bestFit="1" customWidth="1"/>
    <col min="8" max="8" width="104" bestFit="1" customWidth="1"/>
    <col min="9" max="9" width="27" bestFit="1" customWidth="1"/>
    <col min="10" max="10" width="31.33203125" bestFit="1" customWidth="1"/>
    <col min="11" max="11" width="34.21875" bestFit="1" customWidth="1"/>
  </cols>
  <sheetData>
    <row r="1" spans="1:11" x14ac:dyDescent="0.3">
      <c r="A1" t="s">
        <v>0</v>
      </c>
      <c r="B1" s="3" t="s">
        <v>1</v>
      </c>
      <c r="C1" s="3" t="s">
        <v>2</v>
      </c>
      <c r="D1" s="3" t="s">
        <v>18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s="3">
        <v>46313.573831018519</v>
      </c>
      <c r="C2" s="3">
        <v>46313.574652777781</v>
      </c>
      <c r="D2" s="3">
        <f t="shared" ref="D2:D3" si="0">C2-B2</f>
        <v>8.217592621804215E-4</v>
      </c>
      <c r="E2" t="s">
        <v>10</v>
      </c>
      <c r="G2" s="1" t="s">
        <v>11</v>
      </c>
      <c r="H2" t="s">
        <v>12</v>
      </c>
      <c r="I2" t="s">
        <v>13</v>
      </c>
      <c r="J2">
        <v>5</v>
      </c>
      <c r="K2" t="s">
        <v>14</v>
      </c>
    </row>
    <row r="3" spans="1:11" x14ac:dyDescent="0.3">
      <c r="A3">
        <v>2</v>
      </c>
      <c r="B3" s="3">
        <v>46313.574745370373</v>
      </c>
      <c r="C3" s="3">
        <v>46313.575185185182</v>
      </c>
      <c r="D3" s="3">
        <f t="shared" si="0"/>
        <v>4.3981480848742649E-4</v>
      </c>
      <c r="E3" t="s">
        <v>10</v>
      </c>
      <c r="G3" s="4">
        <v>4</v>
      </c>
      <c r="H3" t="s">
        <v>15</v>
      </c>
      <c r="I3" t="s">
        <v>16</v>
      </c>
      <c r="J3">
        <v>5</v>
      </c>
      <c r="K3" t="s">
        <v>17</v>
      </c>
    </row>
    <row r="4" spans="1:11" x14ac:dyDescent="0.3">
      <c r="A4">
        <v>3</v>
      </c>
      <c r="B4" s="3">
        <v>46313.805625000001</v>
      </c>
      <c r="C4" s="3">
        <v>46313.810196759303</v>
      </c>
      <c r="D4" s="3">
        <f t="shared" ref="D4:D6" si="1">C4-B4</f>
        <v>4.5717593020526692E-3</v>
      </c>
      <c r="E4" s="2" t="s">
        <v>10</v>
      </c>
      <c r="F4" s="2"/>
      <c r="G4" s="5" t="s">
        <v>11</v>
      </c>
      <c r="H4" s="2" t="s">
        <v>19</v>
      </c>
      <c r="I4" s="2" t="s">
        <v>20</v>
      </c>
      <c r="J4">
        <v>5</v>
      </c>
      <c r="K4" s="2" t="s">
        <v>21</v>
      </c>
    </row>
    <row r="5" spans="1:11" x14ac:dyDescent="0.3">
      <c r="A5">
        <v>4</v>
      </c>
      <c r="B5" s="3">
        <v>46313.8605439815</v>
      </c>
      <c r="C5" s="3">
        <v>46313.865046296298</v>
      </c>
      <c r="D5" s="3">
        <f t="shared" si="1"/>
        <v>4.5023147977190092E-3</v>
      </c>
      <c r="E5" s="2" t="s">
        <v>10</v>
      </c>
      <c r="F5" s="2"/>
      <c r="G5" s="5" t="s">
        <v>22</v>
      </c>
      <c r="H5" s="2" t="s">
        <v>23</v>
      </c>
      <c r="I5" s="2" t="s">
        <v>24</v>
      </c>
      <c r="J5">
        <v>4</v>
      </c>
      <c r="K5" s="2" t="s">
        <v>25</v>
      </c>
    </row>
    <row r="6" spans="1:11" x14ac:dyDescent="0.3">
      <c r="A6">
        <v>5</v>
      </c>
      <c r="B6" s="3">
        <v>46313.892233796301</v>
      </c>
      <c r="C6" s="3">
        <v>46313.8933217593</v>
      </c>
      <c r="D6" s="3">
        <f t="shared" si="1"/>
        <v>1.0879629990085959E-3</v>
      </c>
      <c r="E6" s="2" t="s">
        <v>10</v>
      </c>
      <c r="F6" s="2"/>
      <c r="G6" s="5" t="s">
        <v>22</v>
      </c>
      <c r="H6" s="2" t="s">
        <v>26</v>
      </c>
      <c r="I6" s="2" t="s">
        <v>27</v>
      </c>
      <c r="J6">
        <v>4</v>
      </c>
      <c r="K6" s="2" t="s">
        <v>28</v>
      </c>
    </row>
    <row r="7" spans="1:11" x14ac:dyDescent="0.3">
      <c r="C7" s="3"/>
      <c r="D7" s="3">
        <f>AVERAGE(D2:D6)</f>
        <v>2.2847222338896246E-3</v>
      </c>
      <c r="E7" s="2"/>
      <c r="F7" s="2"/>
      <c r="G7" s="2">
        <f>SUBTOTAL(101,OfficeForms.Table[How was your experience on a sale of 1-5? (5 being excellent and 1 being bad)])</f>
        <v>4</v>
      </c>
      <c r="H7" s="2"/>
      <c r="J7">
        <f>AVERAGE(J2:J6)</f>
        <v>4.5999999999999996</v>
      </c>
      <c r="K7" s="2"/>
    </row>
    <row r="8" spans="1:11" x14ac:dyDescent="0.3">
      <c r="C8" s="3"/>
      <c r="D8" s="3"/>
    </row>
    <row r="9" spans="1:11" x14ac:dyDescent="0.3">
      <c r="C9" s="3"/>
      <c r="D9" s="3"/>
    </row>
    <row r="10" spans="1:11" x14ac:dyDescent="0.3">
      <c r="C10" s="3"/>
      <c r="D10" s="3"/>
    </row>
    <row r="11" spans="1:11" x14ac:dyDescent="0.3">
      <c r="C11" s="3"/>
      <c r="D1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alcantar</cp:lastModifiedBy>
  <dcterms:created xsi:type="dcterms:W3CDTF">2026-10-18T20:48:33Z</dcterms:created>
  <dcterms:modified xsi:type="dcterms:W3CDTF">2026-10-19T17:59:23Z</dcterms:modified>
</cp:coreProperties>
</file>