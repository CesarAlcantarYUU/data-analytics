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alcantar_my_yearupunited_org/Documents/.git/pre-week-2/"/>
    </mc:Choice>
  </mc:AlternateContent>
  <xr:revisionPtr revIDLastSave="0" documentId="8_{F60AC847-9D62-9543-93B4-BB1B5FC2857D}" xr6:coauthVersionLast="47" xr6:coauthVersionMax="47" xr10:uidLastSave="{00000000-0000-0000-0000-000000000000}"/>
  <bookViews>
    <workbookView xWindow="-108" yWindow="-108" windowWidth="23256" windowHeight="12456" xr2:uid="{EDF97430-9267-6047-A34D-A31E40060011}"/>
  </bookViews>
  <sheets>
    <sheet name="Sheet1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<sst xmlns="http://schemas.openxmlformats.org/spreadsheetml/2006/main" count="25" uniqueCount="25">
  <si>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</si>
  <si>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</si>
  <si>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</si>
  <si>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</si>
  <si>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</si>
  <si>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</si>
  <si>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</si>
  <si>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</si>
  <si>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</si>
  <si>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</si>
  <si>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</si>
  <si>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</si>
  <si>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</si>
  <si>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</si>
  <si>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Statistics</t>
  </si>
  <si>
    <t>Mean</t>
  </si>
  <si>
    <t>Median</t>
  </si>
  <si>
    <t>Mode</t>
  </si>
  <si>
    <t>Range</t>
  </si>
  <si>
    <t>Standard Deviation</t>
  </si>
  <si>
    <t>I would say Store H has unsual high sales</t>
  </si>
  <si>
    <t>Without Store H</t>
  </si>
  <si>
    <t>With Store H</t>
  </si>
  <si>
    <t xml:space="preserve">Standard Deviation with store H is greater than the standard Deviation without store H. </t>
  </si>
  <si>
    <t>I would say the overall average performance in monthly sales for the stores is 49 sales per month. Store Performance is tightly grouped excluding store H. Store H gets around 72 sales per month which is way off from the average.  When store H is removed, the results do change significantly with the range going from 29 to 9 and the Standard Deviation going from 7.63 to 2.9. What I would want to know is what is store H doing to get that much sales? Are they running more promotions? Or do they just have a great location?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</si>
</sst>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8EB8-F73C-8E4E-8A62-3BF7D084008E}">
  <dimension ref="A1:F14"/>
  <sheetViews>
    <sheetView tabSelected="1" workbookViewId="0">
      <selection activeCell="I14" sqref="I14"/>
    </sheetView>
  </sheetViews>
  <sheetFormatPr defaultColWidth="10.90625" defaultRowHeight="15"/>
  <sheetData>
    <row r="1" spans="1:6" ht="30">
      <c r="A1" t="s">
        <v>0</v>
      </c>
      <c r="B1" s="1" t="s">
        <v>1</v>
      </c>
      <c r="D1" t="s">
        <v>14</v>
      </c>
      <c r="E1" t="s">
        <v>22</v>
      </c>
      <c r="F1" s="1" t="s">
        <v>21</v>
      </c>
    </row>
    <row r="2" spans="1:6">
      <c r="A2" t="s">
        <v>2</v>
      </c>
      <c r="B2">
        <v>51</v>
      </c>
      <c r="D2" t="s">
        <v>15</v>
      </c>
      <c r="E2">
        <f>AVERAGE(B2:B13)</f>
        <v>49.416666666666664</v>
      </c>
      <c r="F2">
        <f>AVERAGE(B2:B8, B10:B13)</f>
        <v>47.363636363636367</v>
      </c>
    </row>
    <row r="3" spans="1:6">
      <c r="A3" t="s">
        <v>3</v>
      </c>
      <c r="B3">
        <v>44</v>
      </c>
      <c r="D3" t="s">
        <v>16</v>
      </c>
      <c r="E3">
        <f>MEDIAN(B2:B13)</f>
        <v>47.5</v>
      </c>
      <c r="F3">
        <f>MEDIAN(B2:B8,B10:B13)</f>
        <v>47</v>
      </c>
    </row>
    <row r="4" spans="1:6">
      <c r="A4" t="s">
        <v>4</v>
      </c>
      <c r="B4">
        <v>49</v>
      </c>
      <c r="D4" t="s">
        <v>17</v>
      </c>
      <c r="E4">
        <f>_xlfn.MODE.SNGL(B2:B13)</f>
        <v>46</v>
      </c>
      <c r="F4">
        <f>_xlfn.MODE.SNGL(B2:B8, B10:B13)</f>
        <v>46</v>
      </c>
    </row>
    <row r="5" spans="1:6">
      <c r="A5" t="s">
        <v>5</v>
      </c>
      <c r="B5">
        <v>46</v>
      </c>
      <c r="D5" t="s">
        <v>18</v>
      </c>
      <c r="E5">
        <f>MAX(B2:B13)-MIN(B2:B13)</f>
        <v>29</v>
      </c>
      <c r="F5">
        <f>MAX(B2:B8,B10:B13)-MIN(B2:B8,B10:B13)</f>
        <v>9</v>
      </c>
    </row>
    <row r="6" spans="1:6" ht="30">
      <c r="A6" t="s">
        <v>6</v>
      </c>
      <c r="B6">
        <v>52</v>
      </c>
      <c r="D6" s="1" t="s">
        <v>19</v>
      </c>
      <c r="E6">
        <f>_xlfn.STDEV.S(B2:B13)</f>
        <v>7.6331613054586773</v>
      </c>
      <c r="F6">
        <f>STDEV(B2:B8,B10:B13)</f>
        <v>2.9076701075853588</v>
      </c>
    </row>
    <row r="7" spans="1:6">
      <c r="A7" t="s">
        <v>7</v>
      </c>
      <c r="B7">
        <v>47</v>
      </c>
      <c r="D7" s="1"/>
    </row>
    <row r="8" spans="1:6">
      <c r="A8" t="s">
        <v>8</v>
      </c>
      <c r="B8">
        <v>45</v>
      </c>
      <c r="D8" s="2"/>
    </row>
    <row r="9" spans="1:6">
      <c r="A9" t="s">
        <v>9</v>
      </c>
      <c r="B9">
        <v>72</v>
      </c>
    </row>
    <row r="10" spans="1:6">
      <c r="A10" t="s">
        <v>10</v>
      </c>
      <c r="B10">
        <v>43</v>
      </c>
    </row>
    <row r="11" spans="1:6">
      <c r="A11" t="s">
        <v>11</v>
      </c>
      <c r="B11">
        <v>48</v>
      </c>
    </row>
    <row r="12" spans="1:6">
      <c r="A12" t="s">
        <v>12</v>
      </c>
      <c r="B12">
        <v>46</v>
      </c>
    </row>
    <row r="13" spans="1:6">
      <c r="A13" t="s">
        <v>13</v>
      </c>
      <c r="B13">
        <v>50</v>
      </c>
    </row>
    <row r="14" spans="1:6" ht="135">
      <c r="D14" s="1" t="s">
        <v>20</v>
      </c>
      <c r="F14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B006-7E59-0545-93E3-045B393B145E}">
  <dimension ref="A1"/>
  <sheetViews>
    <sheetView workbookViewId="0">
      <selection activeCell="A2" sqref="A2"/>
    </sheetView>
  </sheetViews>
  <sheetFormatPr defaultColWidth="10.90625" defaultRowHeight="15"/>
  <cols>
    <col min="1" max="1" width="200.81640625" customWidth="1"/>
  </cols>
  <sheetData>
    <row r="1" spans="1:1" ht="49.95" customHeight="1">
      <c r="A1" s="3" t="s">
        <v>24</v>
      </c>
    </row>
  </sheetData>
  <pageMargins left="0.7" right="0.7" top="0.75" bottom="0.75" header="0.3" footer="0.3"/>
  <pageSetup fitToWidth="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alcantar</dc:creator>
  <cp:lastModifiedBy>cesar alcantar</cp:lastModifiedBy>
  <dcterms:created xsi:type="dcterms:W3CDTF">2026-10-02T18:02:55Z</dcterms:created>
  <dcterms:modified xsi:type="dcterms:W3CDTF">2026-10-05T16:20:50Z</dcterms:modified>
</cp:coreProperties>
</file>